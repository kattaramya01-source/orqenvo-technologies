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tta Ramya\Downloads\"/>
    </mc:Choice>
  </mc:AlternateContent>
  <xr:revisionPtr revIDLastSave="0" documentId="8_{EFA9556A-4A48-4A4B-AF4F-C4FB86807B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Dashboard" sheetId="2" r:id="rId2"/>
  </sheets>
  <definedNames>
    <definedName name="_xlnm._FilterDatabase" localSheetId="0" hidden="1">Sheet1!$A$1:$I$13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E16" i="2" s="1"/>
  <c r="H7" i="1"/>
  <c r="I6" i="1"/>
  <c r="H6" i="1"/>
  <c r="I5" i="1"/>
  <c r="H5" i="1"/>
  <c r="I4" i="1"/>
  <c r="E13" i="2" s="1"/>
  <c r="H4" i="1"/>
  <c r="I3" i="1"/>
  <c r="E12" i="2" s="1"/>
  <c r="H3" i="1"/>
  <c r="B12" i="2" s="1"/>
  <c r="I2" i="1"/>
  <c r="H2" i="1"/>
  <c r="B15" i="2" l="1"/>
  <c r="B13" i="2"/>
  <c r="B14" i="2"/>
  <c r="B11" i="2"/>
  <c r="E11" i="2"/>
  <c r="E15" i="2"/>
  <c r="E14" i="2"/>
  <c r="B16" i="2"/>
  <c r="B4" i="2"/>
  <c r="B5" i="2"/>
</calcChain>
</file>

<file path=xl/sharedStrings.xml><?xml version="1.0" encoding="utf-8"?>
<sst xmlns="http://schemas.openxmlformats.org/spreadsheetml/2006/main" count="70" uniqueCount="40">
  <si>
    <t>Order ID</t>
  </si>
  <si>
    <t>Order Date</t>
  </si>
  <si>
    <t>Region</t>
  </si>
  <si>
    <t>Product</t>
  </si>
  <si>
    <t>Quantity</t>
  </si>
  <si>
    <t>Unit Price</t>
  </si>
  <si>
    <t>Unit Cost</t>
  </si>
  <si>
    <t>Revenue</t>
  </si>
  <si>
    <t>Profit</t>
  </si>
  <si>
    <t>ORD001</t>
  </si>
  <si>
    <t>South</t>
  </si>
  <si>
    <t>Laptop Stand</t>
  </si>
  <si>
    <t>ORD002</t>
  </si>
  <si>
    <t>North</t>
  </si>
  <si>
    <t>Wireless Mouse</t>
  </si>
  <si>
    <t>ORD003</t>
  </si>
  <si>
    <t>East</t>
  </si>
  <si>
    <t>Keyboard</t>
  </si>
  <si>
    <t>ORD004</t>
  </si>
  <si>
    <t>West</t>
  </si>
  <si>
    <t>USB-C Hub</t>
  </si>
  <si>
    <t>ORD005</t>
  </si>
  <si>
    <t>Webcam</t>
  </si>
  <si>
    <t>ORD006</t>
  </si>
  <si>
    <t>Headset</t>
  </si>
  <si>
    <t>ORD007</t>
  </si>
  <si>
    <t>ORD008</t>
  </si>
  <si>
    <t>ORD009</t>
  </si>
  <si>
    <t>ORD010</t>
  </si>
  <si>
    <t>ORD011</t>
  </si>
  <si>
    <t>ORD012</t>
  </si>
  <si>
    <t>ORQENVO TECHNOLOGIES | SALES ANALYTICS</t>
  </si>
  <si>
    <t>Simple Ideas. Smarter Technology.</t>
  </si>
  <si>
    <t>Metric</t>
  </si>
  <si>
    <t>Value</t>
  </si>
  <si>
    <t>Total Revenue</t>
  </si>
  <si>
    <t>Total Profit</t>
  </si>
  <si>
    <t>Total Orders</t>
  </si>
  <si>
    <t>Total Quantity Sold</t>
  </si>
  <si>
    <t>Demo dataset for portfolio practice. Revenue = Quantity × Unit Price; Profit = Quantity × (Unit Price − Unit Cost).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</si>
</sst>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4472C4"/>
      <name val="Calibri"/>
    </font>
    <font>
      <b/>
      <sz val="11"/>
      <name val="Calibri"/>
    </font>
    <font>
      <i/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3" fontId="0" fillId="0" borderId="0" xfId="0" applyNumberFormat="1"/>
    <xf numFmtId="0" fontId="1" fillId="3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Dashboard!$A$11:$A$16</c:f>
              <c:strCache>
                <c:ptCount val="6"/>
                <c:pt idx="0">
                  <c:v>Laptop Stand</c:v>
                </c:pt>
                <c:pt idx="1">
                  <c:v>Wireless Mouse</c:v>
                </c:pt>
                <c:pt idx="2">
                  <c:v>Keyboard</c:v>
                </c:pt>
                <c:pt idx="3">
                  <c:v>USB-C Hub</c:v>
                </c:pt>
                <c:pt idx="4">
                  <c:v>Webcam</c:v>
                </c:pt>
                <c:pt idx="5">
                  <c:v>Headset</c:v>
                </c:pt>
              </c:strCache>
            </c:strRef>
          </c:cat>
          <c:val>
            <c:numRef>
              <c:f>Dashboard!$B$11:$B$16</c:f>
              <c:numCache>
                <c:formatCode>#,##0</c:formatCode>
                <c:ptCount val="6"/>
                <c:pt idx="0">
                  <c:v>9600</c:v>
                </c:pt>
                <c:pt idx="1">
                  <c:v>6500</c:v>
                </c:pt>
                <c:pt idx="2">
                  <c:v>7500</c:v>
                </c:pt>
                <c:pt idx="3">
                  <c:v>10800</c:v>
                </c:pt>
                <c:pt idx="4">
                  <c:v>15000</c:v>
                </c:pt>
                <c:pt idx="5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9-47D7-9C56-6F4FB841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Profit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Dashboard!$E$10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Dashboard!$D$11:$D$16</c:f>
              <c:strCache>
                <c:ptCount val="6"/>
                <c:pt idx="0">
                  <c:v>Laptop Stand</c:v>
                </c:pt>
                <c:pt idx="1">
                  <c:v>Wireless Mouse</c:v>
                </c:pt>
                <c:pt idx="2">
                  <c:v>Keyboard</c:v>
                </c:pt>
                <c:pt idx="3">
                  <c:v>USB-C Hub</c:v>
                </c:pt>
                <c:pt idx="4">
                  <c:v>Webcam</c:v>
                </c:pt>
                <c:pt idx="5">
                  <c:v>Headset</c:v>
                </c:pt>
              </c:strCache>
            </c:strRef>
          </c:cat>
          <c:val>
            <c:numRef>
              <c:f>Dashboard!$E$11:$E$16</c:f>
              <c:numCache>
                <c:formatCode>#,##0</c:formatCode>
                <c:ptCount val="6"/>
                <c:pt idx="0">
                  <c:v>4000</c:v>
                </c:pt>
                <c:pt idx="1">
                  <c:v>3250</c:v>
                </c:pt>
                <c:pt idx="2">
                  <c:v>3000</c:v>
                </c:pt>
                <c:pt idx="3">
                  <c:v>4200</c:v>
                </c:pt>
                <c:pt idx="4">
                  <c:v>5400</c:v>
                </c:pt>
                <c:pt idx="5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D-4711-8C8F-EE41E6C2D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 activeCell="J18" sqref="J18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20" customWidth="1"/>
    <col min="5" max="5" width="12" customWidth="1"/>
    <col min="6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46023</v>
      </c>
      <c r="C2" t="s">
        <v>10</v>
      </c>
      <c r="D2" t="s">
        <v>11</v>
      </c>
      <c r="E2">
        <v>3</v>
      </c>
      <c r="F2" s="3">
        <v>1200</v>
      </c>
      <c r="G2" s="3">
        <v>700</v>
      </c>
      <c r="H2" s="3">
        <f t="shared" ref="H2:H13" si="0">E2*F2</f>
        <v>3600</v>
      </c>
      <c r="I2" s="3">
        <f t="shared" ref="I2:I13" si="1">E2*(F2-G2)</f>
        <v>1500</v>
      </c>
    </row>
    <row r="3" spans="1:9" x14ac:dyDescent="0.3">
      <c r="A3" t="s">
        <v>12</v>
      </c>
      <c r="B3" s="2">
        <v>46027</v>
      </c>
      <c r="C3" t="s">
        <v>13</v>
      </c>
      <c r="D3" t="s">
        <v>14</v>
      </c>
      <c r="E3">
        <v>5</v>
      </c>
      <c r="F3" s="3">
        <v>500</v>
      </c>
      <c r="G3" s="3">
        <v>250</v>
      </c>
      <c r="H3" s="3">
        <f t="shared" si="0"/>
        <v>2500</v>
      </c>
      <c r="I3" s="3">
        <f t="shared" si="1"/>
        <v>1250</v>
      </c>
    </row>
    <row r="4" spans="1:9" x14ac:dyDescent="0.3">
      <c r="A4" t="s">
        <v>15</v>
      </c>
      <c r="B4" s="2">
        <v>46032</v>
      </c>
      <c r="C4" t="s">
        <v>16</v>
      </c>
      <c r="D4" t="s">
        <v>17</v>
      </c>
      <c r="E4">
        <v>2</v>
      </c>
      <c r="F4" s="3">
        <v>1500</v>
      </c>
      <c r="G4" s="3">
        <v>900</v>
      </c>
      <c r="H4" s="3">
        <f t="shared" si="0"/>
        <v>3000</v>
      </c>
      <c r="I4" s="3">
        <f t="shared" si="1"/>
        <v>1200</v>
      </c>
    </row>
    <row r="5" spans="1:9" x14ac:dyDescent="0.3">
      <c r="A5" t="s">
        <v>18</v>
      </c>
      <c r="B5" s="2">
        <v>46037</v>
      </c>
      <c r="C5" t="s">
        <v>19</v>
      </c>
      <c r="D5" t="s">
        <v>20</v>
      </c>
      <c r="E5">
        <v>4</v>
      </c>
      <c r="F5" s="3">
        <v>1800</v>
      </c>
      <c r="G5" s="3">
        <v>1100</v>
      </c>
      <c r="H5" s="3">
        <f t="shared" si="0"/>
        <v>7200</v>
      </c>
      <c r="I5" s="3">
        <f t="shared" si="1"/>
        <v>2800</v>
      </c>
    </row>
    <row r="6" spans="1:9" x14ac:dyDescent="0.3">
      <c r="A6" t="s">
        <v>21</v>
      </c>
      <c r="B6" s="2">
        <v>46042</v>
      </c>
      <c r="C6" t="s">
        <v>10</v>
      </c>
      <c r="D6" t="s">
        <v>22</v>
      </c>
      <c r="E6">
        <v>2</v>
      </c>
      <c r="F6" s="3">
        <v>2500</v>
      </c>
      <c r="G6" s="3">
        <v>1600</v>
      </c>
      <c r="H6" s="3">
        <f t="shared" si="0"/>
        <v>5000</v>
      </c>
      <c r="I6" s="3">
        <f t="shared" si="1"/>
        <v>1800</v>
      </c>
    </row>
    <row r="7" spans="1:9" x14ac:dyDescent="0.3">
      <c r="A7" t="s">
        <v>23</v>
      </c>
      <c r="B7" s="2">
        <v>46047</v>
      </c>
      <c r="C7" t="s">
        <v>13</v>
      </c>
      <c r="D7" t="s">
        <v>24</v>
      </c>
      <c r="E7">
        <v>3</v>
      </c>
      <c r="F7" s="3">
        <v>2000</v>
      </c>
      <c r="G7" s="3">
        <v>1200</v>
      </c>
      <c r="H7" s="3">
        <f t="shared" si="0"/>
        <v>6000</v>
      </c>
      <c r="I7" s="3">
        <f t="shared" si="1"/>
        <v>2400</v>
      </c>
    </row>
    <row r="8" spans="1:9" x14ac:dyDescent="0.3">
      <c r="A8" t="s">
        <v>25</v>
      </c>
      <c r="B8" s="2">
        <v>46052</v>
      </c>
      <c r="C8" t="s">
        <v>16</v>
      </c>
      <c r="D8" t="s">
        <v>11</v>
      </c>
      <c r="E8">
        <v>5</v>
      </c>
      <c r="F8" s="3">
        <v>1200</v>
      </c>
      <c r="G8" s="3">
        <v>700</v>
      </c>
      <c r="H8" s="3">
        <f t="shared" si="0"/>
        <v>6000</v>
      </c>
      <c r="I8" s="3">
        <f t="shared" si="1"/>
        <v>2500</v>
      </c>
    </row>
    <row r="9" spans="1:9" x14ac:dyDescent="0.3">
      <c r="A9" t="s">
        <v>26</v>
      </c>
      <c r="B9" s="2">
        <v>46057</v>
      </c>
      <c r="C9" t="s">
        <v>19</v>
      </c>
      <c r="D9" t="s">
        <v>14</v>
      </c>
      <c r="E9">
        <v>8</v>
      </c>
      <c r="F9" s="3">
        <v>500</v>
      </c>
      <c r="G9" s="3">
        <v>250</v>
      </c>
      <c r="H9" s="3">
        <f t="shared" si="0"/>
        <v>4000</v>
      </c>
      <c r="I9" s="3">
        <f t="shared" si="1"/>
        <v>2000</v>
      </c>
    </row>
    <row r="10" spans="1:9" x14ac:dyDescent="0.3">
      <c r="A10" t="s">
        <v>27</v>
      </c>
      <c r="B10" s="2">
        <v>46062</v>
      </c>
      <c r="C10" t="s">
        <v>10</v>
      </c>
      <c r="D10" t="s">
        <v>17</v>
      </c>
      <c r="E10">
        <v>3</v>
      </c>
      <c r="F10" s="3">
        <v>1500</v>
      </c>
      <c r="G10" s="3">
        <v>900</v>
      </c>
      <c r="H10" s="3">
        <f t="shared" si="0"/>
        <v>4500</v>
      </c>
      <c r="I10" s="3">
        <f t="shared" si="1"/>
        <v>1800</v>
      </c>
    </row>
    <row r="11" spans="1:9" x14ac:dyDescent="0.3">
      <c r="A11" t="s">
        <v>28</v>
      </c>
      <c r="B11" s="2">
        <v>46067</v>
      </c>
      <c r="C11" t="s">
        <v>13</v>
      </c>
      <c r="D11" t="s">
        <v>20</v>
      </c>
      <c r="E11">
        <v>2</v>
      </c>
      <c r="F11" s="3">
        <v>1800</v>
      </c>
      <c r="G11" s="3">
        <v>1100</v>
      </c>
      <c r="H11" s="3">
        <f t="shared" si="0"/>
        <v>3600</v>
      </c>
      <c r="I11" s="3">
        <f t="shared" si="1"/>
        <v>1400</v>
      </c>
    </row>
    <row r="12" spans="1:9" x14ac:dyDescent="0.3">
      <c r="A12" t="s">
        <v>29</v>
      </c>
      <c r="B12" s="2">
        <v>46072</v>
      </c>
      <c r="C12" t="s">
        <v>16</v>
      </c>
      <c r="D12" t="s">
        <v>22</v>
      </c>
      <c r="E12">
        <v>4</v>
      </c>
      <c r="F12" s="3">
        <v>2500</v>
      </c>
      <c r="G12" s="3">
        <v>1600</v>
      </c>
      <c r="H12" s="3">
        <f t="shared" si="0"/>
        <v>10000</v>
      </c>
      <c r="I12" s="3">
        <f t="shared" si="1"/>
        <v>3600</v>
      </c>
    </row>
    <row r="13" spans="1:9" x14ac:dyDescent="0.3">
      <c r="A13" t="s">
        <v>30</v>
      </c>
      <c r="B13" s="2">
        <v>46077</v>
      </c>
      <c r="C13" t="s">
        <v>19</v>
      </c>
      <c r="D13" t="s">
        <v>24</v>
      </c>
      <c r="E13">
        <v>5</v>
      </c>
      <c r="F13" s="3">
        <v>2000</v>
      </c>
      <c r="G13" s="3">
        <v>1200</v>
      </c>
      <c r="H13" s="3">
        <f t="shared" si="0"/>
        <v>10000</v>
      </c>
      <c r="I13" s="3">
        <f t="shared" si="1"/>
        <v>4000</v>
      </c>
    </row>
  </sheetData>
  <autoFilter ref="A1:I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abSelected="1" workbookViewId="0">
      <pane ySplit="2" topLeftCell="A3" activePane="bottomLeft" state="frozen"/>
      <selection pane="bottomLeft" sqref="A1:E7"/>
    </sheetView>
  </sheetViews>
  <sheetFormatPr defaultRowHeight="14.4" x14ac:dyDescent="0.3"/>
  <cols>
    <col min="1" max="1" width="24" customWidth="1"/>
    <col min="2" max="2" width="16" customWidth="1"/>
    <col min="3" max="3" width="4" customWidth="1"/>
    <col min="4" max="4" width="24" customWidth="1"/>
    <col min="5" max="5" width="16" customWidth="1"/>
    <col min="6" max="6" width="3" customWidth="1"/>
    <col min="7" max="11" width="14" customWidth="1"/>
  </cols>
  <sheetData>
    <row r="1" spans="1:5" ht="21" x14ac:dyDescent="0.4">
      <c r="A1" s="8" t="s">
        <v>31</v>
      </c>
      <c r="B1" s="7"/>
      <c r="C1" s="7"/>
      <c r="D1" s="7"/>
      <c r="E1" s="7"/>
    </row>
    <row r="2" spans="1:5" x14ac:dyDescent="0.3">
      <c r="A2" s="6" t="s">
        <v>32</v>
      </c>
      <c r="B2" s="7"/>
      <c r="C2" s="7"/>
      <c r="D2" s="7"/>
      <c r="E2" s="7"/>
    </row>
    <row r="3" spans="1:5" x14ac:dyDescent="0.3">
      <c r="A3" s="4" t="s">
        <v>33</v>
      </c>
      <c r="B3" s="4" t="s">
        <v>34</v>
      </c>
      <c r="C3" s="4"/>
      <c r="D3" s="4"/>
      <c r="E3" s="4"/>
    </row>
    <row r="4" spans="1:5" x14ac:dyDescent="0.3">
      <c r="A4" s="5" t="s">
        <v>35</v>
      </c>
      <c r="B4" s="3">
        <f>SUM(Sheet1!H2:H13)</f>
        <v>65400</v>
      </c>
    </row>
    <row r="5" spans="1:5" x14ac:dyDescent="0.3">
      <c r="A5" s="5" t="s">
        <v>36</v>
      </c>
      <c r="B5" s="3">
        <f>SUM(Sheet1!I2:I13)</f>
        <v>26250</v>
      </c>
    </row>
    <row r="6" spans="1:5" x14ac:dyDescent="0.3">
      <c r="A6" s="5" t="s">
        <v>37</v>
      </c>
      <c r="B6" s="3">
        <f>COUNTA(Sheet1!A2:A13)</f>
        <v>12</v>
      </c>
    </row>
    <row r="7" spans="1:5" x14ac:dyDescent="0.3">
      <c r="A7" s="5" t="s">
        <v>38</v>
      </c>
      <c r="B7" s="3">
        <f>SUM(Sheet1!E2:E13)</f>
        <v>46</v>
      </c>
    </row>
    <row r="10" spans="1:5" x14ac:dyDescent="0.3">
      <c r="A10" s="4" t="s">
        <v>3</v>
      </c>
      <c r="B10" s="4" t="s">
        <v>7</v>
      </c>
      <c r="D10" s="4" t="s">
        <v>3</v>
      </c>
      <c r="E10" s="4" t="s">
        <v>8</v>
      </c>
    </row>
    <row r="11" spans="1:5" x14ac:dyDescent="0.3">
      <c r="A11" t="s">
        <v>11</v>
      </c>
      <c r="B11" s="3">
        <f>SUMIF(Sheet1!$D$2:$D$13,A11,Sheet1!$H$2:$H$13)</f>
        <v>9600</v>
      </c>
      <c r="D11" t="s">
        <v>11</v>
      </c>
      <c r="E11" s="3">
        <f>SUMIF(Sheet1!$D$2:$D$13,D11,Sheet1!$I$2:$I$13)</f>
        <v>4000</v>
      </c>
    </row>
    <row r="12" spans="1:5" x14ac:dyDescent="0.3">
      <c r="A12" t="s">
        <v>14</v>
      </c>
      <c r="B12" s="3">
        <f>SUMIF(Sheet1!$D$2:$D$13,A12,Sheet1!$H$2:$H$13)</f>
        <v>6500</v>
      </c>
      <c r="D12" t="s">
        <v>14</v>
      </c>
      <c r="E12" s="3">
        <f>SUMIF(Sheet1!$D$2:$D$13,D12,Sheet1!$I$2:$I$13)</f>
        <v>3250</v>
      </c>
    </row>
    <row r="13" spans="1:5" x14ac:dyDescent="0.3">
      <c r="A13" t="s">
        <v>17</v>
      </c>
      <c r="B13" s="3">
        <f>SUMIF(Sheet1!$D$2:$D$13,A13,Sheet1!$H$2:$H$13)</f>
        <v>7500</v>
      </c>
      <c r="D13" t="s">
        <v>17</v>
      </c>
      <c r="E13" s="3">
        <f>SUMIF(Sheet1!$D$2:$D$13,D13,Sheet1!$I$2:$I$13)</f>
        <v>3000</v>
      </c>
    </row>
    <row r="14" spans="1:5" x14ac:dyDescent="0.3">
      <c r="A14" t="s">
        <v>20</v>
      </c>
      <c r="B14" s="3">
        <f>SUMIF(Sheet1!$D$2:$D$13,A14,Sheet1!$H$2:$H$13)</f>
        <v>10800</v>
      </c>
      <c r="D14" t="s">
        <v>20</v>
      </c>
      <c r="E14" s="3">
        <f>SUMIF(Sheet1!$D$2:$D$13,D14,Sheet1!$I$2:$I$13)</f>
        <v>4200</v>
      </c>
    </row>
    <row r="15" spans="1:5" x14ac:dyDescent="0.3">
      <c r="A15" t="s">
        <v>22</v>
      </c>
      <c r="B15" s="3">
        <f>SUMIF(Sheet1!$D$2:$D$13,A15,Sheet1!$H$2:$H$13)</f>
        <v>15000</v>
      </c>
      <c r="D15" t="s">
        <v>22</v>
      </c>
      <c r="E15" s="3">
        <f>SUMIF(Sheet1!$D$2:$D$13,D15,Sheet1!$I$2:$I$13)</f>
        <v>5400</v>
      </c>
    </row>
    <row r="16" spans="1:5" x14ac:dyDescent="0.3">
      <c r="A16" t="s">
        <v>24</v>
      </c>
      <c r="B16" s="3">
        <f>SUMIF(Sheet1!$D$2:$D$13,A16,Sheet1!$H$2:$H$13)</f>
        <v>16000</v>
      </c>
      <c r="D16" t="s">
        <v>24</v>
      </c>
      <c r="E16" s="3">
        <f>SUMIF(Sheet1!$D$2:$D$13,D16,Sheet1!$I$2:$I$13)</f>
        <v>6400</v>
      </c>
    </row>
    <row r="18" spans="1:5" ht="30" customHeight="1" x14ac:dyDescent="0.3">
      <c r="A18" s="9" t="s">
        <v>39</v>
      </c>
      <c r="B18" s="7"/>
      <c r="C18" s="7"/>
      <c r="D18" s="7"/>
      <c r="E18" s="7"/>
    </row>
  </sheetData>
  <mergeCells count="3">
    <mergeCell ref="A2:E2"/>
    <mergeCell ref="A1:E1"/>
    <mergeCell ref="A18:E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Katta</cp:lastModifiedBy>
  <dcterms:created xsi:type="dcterms:W3CDTF">2026-10-19T14:10:25Z</dcterms:created>
  <dcterms:modified xsi:type="dcterms:W3CDTF">2026-10-19T14:12:54Z</dcterms:modified>
</cp:coreProperties>
</file>